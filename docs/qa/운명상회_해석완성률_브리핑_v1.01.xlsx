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서비스별_완성률" sheetId="1" state="visible" r:id="rId1"/>
    <sheet xmlns:r="http://schemas.openxmlformats.org/officeDocument/2006/relationships" name="02_목차별_해석_품질" sheetId="2" state="visible" r:id="rId2"/>
    <sheet xmlns:r="http://schemas.openxmlformats.org/officeDocument/2006/relationships" name="03_핵심_발견과_개선" sheetId="3" state="visible" r:id="rId3"/>
  </sheets>
  <definedNames>
    <definedName name="_xlnm._FilterDatabase" localSheetId="1" hidden="1">'02_목차별_해석_품질'!$A$1:$G$7</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3864"/>
      <sz val="15"/>
    </font>
    <font>
      <name val="Arial"/>
      <color rgb="00595959"/>
      <sz val="9"/>
    </font>
    <font>
      <name val="Arial"/>
      <b val="1"/>
      <color rgb="00FFFFFF"/>
      <sz val="10"/>
    </font>
    <font>
      <name val="Arial"/>
      <b val="1"/>
      <sz val="10"/>
    </font>
    <font>
      <name val="Arial"/>
      <sz val="10"/>
    </font>
    <font>
      <name val="Arial"/>
      <sz val="9"/>
    </font>
    <font>
      <name val="Arial"/>
      <b val="1"/>
      <color rgb="00FFFFFF"/>
      <sz val="12"/>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horizontal="left"/>
    </xf>
    <xf numFmtId="0" fontId="5" fillId="0" borderId="1" applyAlignment="1" pivotButton="0" quotePrefix="0" xfId="0">
      <alignment horizontal="center"/>
    </xf>
    <xf numFmtId="164" fontId="5" fillId="0" borderId="1" applyAlignment="1" pivotButton="0" quotePrefix="0" xfId="0">
      <alignment horizontal="center"/>
    </xf>
    <xf numFmtId="0" fontId="4" fillId="0" borderId="1" applyAlignment="1" pivotButton="0" quotePrefix="0" xfId="0">
      <alignment horizontal="left"/>
    </xf>
    <xf numFmtId="0" fontId="4" fillId="0" borderId="1" applyAlignment="1" pivotButton="0" quotePrefix="0" xfId="0">
      <alignment horizontal="center"/>
    </xf>
    <xf numFmtId="164" fontId="4" fillId="0" borderId="1" applyAlignment="1" pivotButton="0" quotePrefix="0" xfId="0">
      <alignment horizontal="center"/>
    </xf>
    <xf numFmtId="0" fontId="6" fillId="0" borderId="1" applyAlignment="1" pivotButton="0" quotePrefix="0" xfId="0">
      <alignment vertical="top"/>
    </xf>
    <xf numFmtId="0" fontId="6" fillId="0" borderId="1" applyAlignment="1" pivotButton="0" quotePrefix="0" xfId="0">
      <alignment vertical="top" wrapText="1"/>
    </xf>
    <xf numFmtId="0" fontId="7" fillId="2" borderId="0" pivotButton="0" quotePrefix="0" xfId="0"/>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9" customWidth="1" min="3" max="3"/>
    <col width="10" customWidth="1" min="4" max="4"/>
    <col width="15" customWidth="1" min="5" max="5"/>
    <col width="13" customWidth="1" min="6" max="6"/>
    <col width="16" customWidth="1" min="7" max="7"/>
    <col width="14" customWidth="1" min="8" max="8"/>
    <col width="30" customWidth="1" min="9" max="9"/>
  </cols>
  <sheetData>
    <row r="1">
      <c r="A1" s="1" t="inlineStr">
        <is>
          <t>운명상회 해석 완성률 브리핑 — v1.01 기준</t>
        </is>
      </c>
    </row>
    <row r="2" ht="30" customHeight="1">
      <c r="A2" s="2" t="inlineStr">
        <is>
          <t>측정: 2026-09-17 운영(umsh.kr) good1621 계정. 완성률 = 완료 섹션 / 저장 섹션. "실제 목차"는 중복 제거한 고유 카테고리 수이고, "변형"은 같은 목차의 유형별 분기 생성물이다.</t>
        </is>
      </c>
    </row>
    <row r="4" ht="30" customHeight="1">
      <c r="A4" s="3" t="inlineStr">
        <is>
          <t>서비스</t>
        </is>
      </c>
      <c r="B4" s="3" t="inlineStr">
        <is>
          <t>저장 섹션</t>
        </is>
      </c>
      <c r="C4" s="3" t="inlineStr">
        <is>
          <t>완료</t>
        </is>
      </c>
      <c r="D4" s="3" t="inlineStr">
        <is>
          <t>완성률</t>
        </is>
      </c>
      <c r="E4" s="3" t="inlineStr">
        <is>
          <t>실제 목차(고유)</t>
        </is>
      </c>
      <c r="F4" s="3" t="inlineStr">
        <is>
          <t>목차당 변형</t>
        </is>
      </c>
      <c r="G4" s="3" t="inlineStr">
        <is>
          <t>예상 소요(현행)</t>
        </is>
      </c>
      <c r="H4" s="3" t="inlineStr">
        <is>
          <t>변형 정리 시</t>
        </is>
      </c>
      <c r="I4" s="3" t="inlineStr">
        <is>
          <t>상태</t>
        </is>
      </c>
    </row>
    <row r="5">
      <c r="A5" s="4" t="inlineStr">
        <is>
          <t>퇴사운</t>
        </is>
      </c>
      <c r="B5" s="5" t="n">
        <v>48</v>
      </c>
      <c r="C5" s="5" t="n">
        <v>31</v>
      </c>
      <c r="D5" s="6">
        <f>IF(B5=0,0,C5/B5)</f>
        <v/>
      </c>
      <c r="E5" s="5" t="n">
        <v>10</v>
      </c>
      <c r="F5" s="5">
        <f>IF(E5="-","-",ROUND(B5/E5,1))</f>
        <v/>
      </c>
      <c r="G5" s="5">
        <f>ROUND(B5*34/60,0)</f>
        <v/>
      </c>
      <c r="H5" s="5">
        <f>IF(E5="-","-",ROUND(E5*34/60,0))</f>
        <v/>
      </c>
      <c r="I5" s="4" t="inlineStr">
        <is>
          <t>생성 중 · 변형 5배</t>
        </is>
      </c>
    </row>
    <row r="6">
      <c r="A6" s="4" t="inlineStr">
        <is>
          <t>소비성향</t>
        </is>
      </c>
      <c r="B6" s="5" t="n">
        <v>41</v>
      </c>
      <c r="C6" s="5" t="n">
        <v>32</v>
      </c>
      <c r="D6" s="6">
        <f>IF(B6=0,0,C6/B6)</f>
        <v/>
      </c>
      <c r="E6" s="5" t="n">
        <v>8</v>
      </c>
      <c r="F6" s="5">
        <f>IF(E6="-","-",ROUND(B6/E6,1))</f>
        <v/>
      </c>
      <c r="G6" s="5">
        <f>ROUND(B6*34/60,0)</f>
        <v/>
      </c>
      <c r="H6" s="5">
        <f>IF(E6="-","-",ROUND(E6*34/60,0))</f>
        <v/>
      </c>
      <c r="I6" s="4" t="inlineStr">
        <is>
          <t>중단 · 변형 5배</t>
        </is>
      </c>
    </row>
    <row r="7">
      <c r="A7" s="4" t="inlineStr">
        <is>
          <t>관계 신호</t>
        </is>
      </c>
      <c r="B7" s="5" t="n">
        <v>70</v>
      </c>
      <c r="C7" s="5" t="n">
        <v>0</v>
      </c>
      <c r="D7" s="6">
        <f>IF(B7=0,0,C7/B7)</f>
        <v/>
      </c>
      <c r="E7" s="5" t="n">
        <v>10</v>
      </c>
      <c r="F7" s="5">
        <f>IF(E7="-","-",ROUND(B7/E7,1))</f>
        <v/>
      </c>
      <c r="G7" s="5">
        <f>ROUND(B7*34/60,0)</f>
        <v/>
      </c>
      <c r="H7" s="5">
        <f>IF(E7="-","-",ROUND(E7*34/60,0))</f>
        <v/>
      </c>
      <c r="I7" s="4" t="inlineStr">
        <is>
          <t>중단 · 변형 7배 (최다)</t>
        </is>
      </c>
    </row>
    <row r="8">
      <c r="A8" s="4" t="inlineStr">
        <is>
          <t>직장 선택</t>
        </is>
      </c>
      <c r="B8" s="5" t="n">
        <v>57</v>
      </c>
      <c r="C8" s="5" t="n">
        <v>1</v>
      </c>
      <c r="D8" s="6">
        <f>IF(B8=0,0,C8/B8)</f>
        <v/>
      </c>
      <c r="E8" s="5" t="n">
        <v>10</v>
      </c>
      <c r="F8" s="5">
        <f>IF(E8="-","-",ROUND(B8/E8,1))</f>
        <v/>
      </c>
      <c r="G8" s="5">
        <f>ROUND(B8*34/60,0)</f>
        <v/>
      </c>
      <c r="H8" s="5">
        <f>IF(E8="-","-",ROUND(E8*34/60,0))</f>
        <v/>
      </c>
      <c r="I8" s="4" t="inlineStr">
        <is>
          <t>생성 중 · 변형 6배</t>
        </is>
      </c>
    </row>
    <row r="9">
      <c r="A9" s="4" t="inlineStr">
        <is>
          <t>천명사주</t>
        </is>
      </c>
      <c r="B9" s="5" t="n">
        <v>37</v>
      </c>
      <c r="C9" s="5" t="n">
        <v>4</v>
      </c>
      <c r="D9" s="6">
        <f>IF(B9=0,0,C9/B9)</f>
        <v/>
      </c>
      <c r="E9" s="5" t="inlineStr">
        <is>
          <t>-</t>
        </is>
      </c>
      <c r="F9" s="5">
        <f>IF(E9="-","-",ROUND(B9/E9,1))</f>
        <v/>
      </c>
      <c r="G9" s="5">
        <f>ROUND(B9*34/60,0)</f>
        <v/>
      </c>
      <c r="H9" s="5">
        <f>IF(E9="-","-",ROUND(E9*34/60,0))</f>
        <v/>
      </c>
      <c r="I9" s="4" t="inlineStr">
        <is>
          <t>생성 중 · 목차 16개로 축소 적용됨(신규분)</t>
        </is>
      </c>
    </row>
    <row r="10">
      <c r="A10" s="4" t="inlineStr">
        <is>
          <t>올해 연애운</t>
        </is>
      </c>
      <c r="B10" s="5" t="n">
        <v>48</v>
      </c>
      <c r="C10" s="5" t="n">
        <v>2</v>
      </c>
      <c r="D10" s="6">
        <f>IF(B10=0,0,C10/B10)</f>
        <v/>
      </c>
      <c r="E10" s="5" t="inlineStr">
        <is>
          <t>-</t>
        </is>
      </c>
      <c r="F10" s="5">
        <f>IF(E10="-","-",ROUND(B10/E10,1))</f>
        <v/>
      </c>
      <c r="G10" s="5">
        <f>ROUND(B10*34/60,0)</f>
        <v/>
      </c>
      <c r="H10" s="5">
        <f>IF(E10="-","-",ROUND(E10*34/60,0))</f>
        <v/>
      </c>
      <c r="I10" s="4" t="inlineStr">
        <is>
          <t>생성 중</t>
        </is>
      </c>
    </row>
    <row r="11">
      <c r="A11" s="4" t="inlineStr">
        <is>
          <t>이직운</t>
        </is>
      </c>
      <c r="B11" s="5" t="n">
        <v>10</v>
      </c>
      <c r="C11" s="5" t="n">
        <v>1</v>
      </c>
      <c r="D11" s="6">
        <f>IF(B11=0,0,C11/B11)</f>
        <v/>
      </c>
      <c r="E11" s="5" t="inlineStr">
        <is>
          <t>-</t>
        </is>
      </c>
      <c r="F11" s="5">
        <f>IF(E11="-","-",ROUND(B11/E11,1))</f>
        <v/>
      </c>
      <c r="G11" s="5">
        <f>ROUND(B11*34/60,0)</f>
        <v/>
      </c>
      <c r="H11" s="5">
        <f>IF(E11="-","-",ROUND(E11*34/60,0))</f>
        <v/>
      </c>
      <c r="I11" s="4" t="inlineStr">
        <is>
          <t>생성 중 · 목차 수 적정</t>
        </is>
      </c>
    </row>
    <row r="12">
      <c r="A12" s="4" t="inlineStr">
        <is>
          <t>오늘운(무료)</t>
        </is>
      </c>
      <c r="B12" s="5" t="n">
        <v>1</v>
      </c>
      <c r="C12" s="5" t="n">
        <v>1</v>
      </c>
      <c r="D12" s="6">
        <f>IF(B12=0,0,C12/B12)</f>
        <v/>
      </c>
      <c r="E12" s="5" t="n">
        <v>1</v>
      </c>
      <c r="F12" s="5">
        <f>IF(E12="-","-",ROUND(B12/E12,1))</f>
        <v/>
      </c>
      <c r="G12" s="5">
        <f>ROUND(B12*34/60,0)</f>
        <v/>
      </c>
      <c r="H12" s="5">
        <f>IF(E12="-","-",ROUND(E12*34/60,0))</f>
        <v/>
      </c>
      <c r="I12" s="4" t="inlineStr">
        <is>
          <t>완료</t>
        </is>
      </c>
    </row>
    <row r="13">
      <c r="A13" s="4" t="inlineStr">
        <is>
          <t>직업운</t>
        </is>
      </c>
      <c r="B13" s="5" t="n">
        <v>21</v>
      </c>
      <c r="C13" s="5" t="n">
        <v>0</v>
      </c>
      <c r="D13" s="6">
        <f>IF(B13=0,0,C13/B13)</f>
        <v/>
      </c>
      <c r="E13" s="5" t="inlineStr">
        <is>
          <t>-</t>
        </is>
      </c>
      <c r="F13" s="5">
        <f>IF(E13="-","-",ROUND(B13/E13,1))</f>
        <v/>
      </c>
      <c r="G13" s="5">
        <f>ROUND(B13*34/60,0)</f>
        <v/>
      </c>
      <c r="H13" s="5">
        <f>IF(E13="-","-",ROUND(E13*34/60,0))</f>
        <v/>
      </c>
      <c r="I13" s="4" t="inlineStr">
        <is>
          <t>중단</t>
        </is>
      </c>
    </row>
    <row r="14">
      <c r="A14" s="4" t="inlineStr">
        <is>
          <t>상대방 마음</t>
        </is>
      </c>
      <c r="B14" s="5" t="n">
        <v>21</v>
      </c>
      <c r="C14" s="5" t="n">
        <v>0</v>
      </c>
      <c r="D14" s="6">
        <f>IF(B14=0,0,C14/B14)</f>
        <v/>
      </c>
      <c r="E14" s="5" t="inlineStr">
        <is>
          <t>-</t>
        </is>
      </c>
      <c r="F14" s="5">
        <f>IF(E14="-","-",ROUND(B14/E14,1))</f>
        <v/>
      </c>
      <c r="G14" s="5">
        <f>ROUND(B14*34/60,0)</f>
        <v/>
      </c>
      <c r="H14" s="5">
        <f>IF(E14="-","-",ROUND(E14*34/60,0))</f>
        <v/>
      </c>
      <c r="I14" s="4" t="inlineStr">
        <is>
          <t>중단</t>
        </is>
      </c>
    </row>
    <row r="15">
      <c r="A15" s="4" t="inlineStr">
        <is>
          <t>재회운</t>
        </is>
      </c>
      <c r="B15" s="5" t="n">
        <v>21</v>
      </c>
      <c r="C15" s="5" t="n">
        <v>0</v>
      </c>
      <c r="D15" s="6">
        <f>IF(B15=0,0,C15/B15)</f>
        <v/>
      </c>
      <c r="E15" s="5" t="inlineStr">
        <is>
          <t>-</t>
        </is>
      </c>
      <c r="F15" s="5">
        <f>IF(E15="-","-",ROUND(B15/E15,1))</f>
        <v/>
      </c>
      <c r="G15" s="5">
        <f>ROUND(B15*34/60,0)</f>
        <v/>
      </c>
      <c r="H15" s="5">
        <f>IF(E15="-","-",ROUND(E15*34/60,0))</f>
        <v/>
      </c>
      <c r="I15" s="4" t="inlineStr">
        <is>
          <t>중단</t>
        </is>
      </c>
    </row>
    <row r="16">
      <c r="A16" s="4" t="inlineStr">
        <is>
          <t>배우자운</t>
        </is>
      </c>
      <c r="B16" s="5" t="n">
        <v>21</v>
      </c>
      <c r="C16" s="5" t="n">
        <v>0</v>
      </c>
      <c r="D16" s="6">
        <f>IF(B16=0,0,C16/B16)</f>
        <v/>
      </c>
      <c r="E16" s="5" t="inlineStr">
        <is>
          <t>-</t>
        </is>
      </c>
      <c r="F16" s="5">
        <f>IF(E16="-","-",ROUND(B16/E16,1))</f>
        <v/>
      </c>
      <c r="G16" s="5">
        <f>ROUND(B16*34/60,0)</f>
        <v/>
      </c>
      <c r="H16" s="5">
        <f>IF(E16="-","-",ROUND(E16*34/60,0))</f>
        <v/>
      </c>
      <c r="I16" s="4" t="inlineStr">
        <is>
          <t>중단</t>
        </is>
      </c>
    </row>
    <row r="17">
      <c r="A17" s="4" t="inlineStr">
        <is>
          <t>고양이 궁합</t>
        </is>
      </c>
      <c r="B17" s="5" t="n">
        <v>50</v>
      </c>
      <c r="C17" s="5" t="n">
        <v>0</v>
      </c>
      <c r="D17" s="6">
        <f>IF(B17=0,0,C17/B17)</f>
        <v/>
      </c>
      <c r="E17" s="5" t="inlineStr">
        <is>
          <t>-</t>
        </is>
      </c>
      <c r="F17" s="5">
        <f>IF(E17="-","-",ROUND(B17/E17,1))</f>
        <v/>
      </c>
      <c r="G17" s="5">
        <f>ROUND(B17*34/60,0)</f>
        <v/>
      </c>
      <c r="H17" s="5">
        <f>IF(E17="-","-",ROUND(E17*34/60,0))</f>
        <v/>
      </c>
      <c r="I17" s="4" t="inlineStr">
        <is>
          <t>중단</t>
        </is>
      </c>
    </row>
    <row r="18">
      <c r="A18" s="7" t="inlineStr">
        <is>
          <t>합계</t>
        </is>
      </c>
      <c r="B18" s="8">
        <f>SUM(B5:B17)</f>
        <v/>
      </c>
      <c r="C18" s="8">
        <f>SUM(C5:C17)</f>
        <v/>
      </c>
      <c r="D18" s="9">
        <f>IF(B18=0,0,C18/B18)</f>
        <v/>
      </c>
      <c r="E18" s="8" t="n"/>
      <c r="F18" s="8" t="n"/>
      <c r="G18" s="8">
        <f>ROUND(B18*34/60,0)</f>
        <v/>
      </c>
      <c r="H18" s="8" t="n"/>
      <c r="I18" s="7" t="n"/>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90" customWidth="1" min="4" max="4"/>
    <col width="9" customWidth="1" min="5" max="5"/>
    <col width="42" customWidth="1" min="6" max="6"/>
    <col width="42" customWidth="1" min="7" max="7"/>
  </cols>
  <sheetData>
    <row r="1" ht="28" customHeight="1">
      <c r="A1" s="3" t="inlineStr">
        <is>
          <t>1. 서비스</t>
        </is>
      </c>
      <c r="B1" s="3" t="inlineStr">
        <is>
          <t>2. 목차</t>
        </is>
      </c>
      <c r="C1" s="3" t="inlineStr">
        <is>
          <t>유형(분기)</t>
        </is>
      </c>
      <c r="D1" s="3" t="inlineStr">
        <is>
          <t>3. 해석글 원문</t>
        </is>
      </c>
      <c r="E1" s="3" t="inlineStr">
        <is>
          <t>글자수</t>
        </is>
      </c>
      <c r="F1" s="3" t="inlineStr">
        <is>
          <t>4. 품질 평가</t>
        </is>
      </c>
      <c r="G1" s="3" t="inlineStr">
        <is>
          <t>5. 개선 방안</t>
        </is>
      </c>
    </row>
    <row r="2" ht="120" customHeight="1">
      <c r="A2" s="10" t="inlineStr">
        <is>
          <t>소비성향</t>
        </is>
      </c>
      <c r="B2" s="10" t="inlineStr">
        <is>
          <t>돈이 들어오는 방식</t>
        </is>
      </c>
      <c r="C2" s="10" t="inlineStr">
        <is>
          <t>월급 안정러</t>
        </is>
      </c>
      <c r="D2" s="11" t="inlineStr">
        <is>
          <t>수입 통로는 월급형이에요. 입력에서 수입은 월급 중심이고 새는 곳은 관계와 정산으로 잡혀 있으니, 월급액보다 받을 돈이 실제 입금으로 닫혔는지가 판단 조건이에요. 예를 들어 월급 다음 주에 카드 앱을 열면 식사 대납, 모임비, 선물 결제가 카드값으로 먼저 찍히고 송금은 뒤로 밀리는 장면이 핵심이에요. 다음 선택 기준은 생활비와 사람 이름이 붙은 지출을 분리하는 거예요.
편재(偏財, 고정된 월급보다 사람·기회·정산으로 움직이는 돈의 별)가 시주에 있는 구조예요. 충(沖, 서로 부딪히는 전통 관계)은 돈 얘기에서 기준과 거리감이 엇갈리는 상징이에요. 묘유충이 두 번 잡힌 계산은 관계 속 돈이 말로는 정리된 듯 보여도 실제 입금 확인이 빠지면 새는 문이 열린다는 해석 후보예요.
확인 대상은 카드 명세서의 식사 대납, 모임비, 선물 결제, 송금 내역이에요. 오늘 카드 명세서에서 월급 다음 주 결제와 정산 송금 항목을 비교해요. 닫히지 않은 관계 지출은 이번 달 손절 후보예요.</t>
        </is>
      </c>
      <c r="E2" s="10" t="n">
        <v>494</v>
      </c>
      <c r="F2" s="11" t="inlineStr">
        <is>
          <t>명식 근거 인용 O (편재·충·묘유충·오행 수치) / 생활 장면 O (카드 명세서·단톡방 정산) / 전문용어 한자+쉬운뜻 병기 O / 다음 판단 기준 O / 어미 "~예요" 일관 O. 문장 품질 자체는 판매 가능한 수준. 이 유형은 대표 사례로 유지 권장.</t>
        </is>
      </c>
      <c r="G2" s="11" t="inlineStr">
        <is>
          <t>사용자 유형을 먼저 판정하고 해당 유형 1개만 생성한다. 지금은 7개 유형을 모두 만들어 고객 리포트에 "당신은 월급 안정러" 와 "당신은 N잡 기회러" 가 동시에 실린다 — 비용 7배이자 내용 모순이다.</t>
        </is>
      </c>
    </row>
    <row r="3" ht="120" customHeight="1">
      <c r="A3" s="10" t="inlineStr">
        <is>
          <t>소비성향</t>
        </is>
      </c>
      <c r="B3" s="10" t="inlineStr">
        <is>
          <t>돈이 들어오는 방식</t>
        </is>
      </c>
      <c r="C3" s="10" t="inlineStr">
        <is>
          <t>N잡 기회러</t>
        </is>
      </c>
      <c r="D3" s="11" t="inlineStr">
        <is>
          <t>부업은 열어도 되지만, 먼저 막을 건 수입 통로가 아니라 정산 구멍이에요. 수입이 월급 중심이고 새는 곳이 관계와 정산으로 입력됐으니, 추가 수입보다 받을 돈이 실제 입금으로 닫히는지가 판단 조건이에요.
편재(偏財, 고정 월급보다 사람·기회·정산으로 움직이는 돈의 별)가 시주에 놓인 구조예요. 충(沖, 서로 부딪히는 전통 관계)은 기준과 거리감이 부딪히는 전통 관계예요. 묘유충이 반복된 계산은 친분과 돈 얘기가 한 화면에 뜰 때 기준이 흔들리는 쪽으로 읽는 게 맞아요.
확인 대상은 부업 제안, 선결제 영수증, 송금 앱의 정산 요청 항목이에요. 셋 중 하나라도 말로만 남으면 이번 달에는 손절 후보예요.</t>
        </is>
      </c>
      <c r="E3" s="10" t="n">
        <v>341</v>
      </c>
      <c r="F3" s="11" t="inlineStr">
        <is>
          <t>치명적 중복. 같은 목차의 다른 유형인데 근거 문장이 거의 동일하다 — "편재가 시주에 놓인 계산", "묘유충이 반복", "식탁에서 먼저 결제하고 단톡방에" 가 반복된다. 유형이 달라도 읽는 사람은 같은 글로 느낀다. 앞 유형과 2~3문단이 사실상 같은 문장.</t>
        </is>
      </c>
      <c r="G3" s="11" t="inlineStr">
        <is>
          <t>유형별로 근거를 달리 뽑도록 프롬프트에 유형 특성을 주입한다. 현재는 같은 명식 근거에 유형 이름만 갈아끼우는 수준이다.</t>
        </is>
      </c>
    </row>
    <row r="4" ht="120" customHeight="1">
      <c r="A4" s="10" t="inlineStr">
        <is>
          <t>소비성향</t>
        </is>
      </c>
      <c r="B4" s="10" t="inlineStr">
        <is>
          <t>돈이 들어오는 방식</t>
        </is>
      </c>
      <c r="C4" s="10" t="inlineStr">
        <is>
          <t>꾸준 생산러</t>
        </is>
      </c>
      <c r="D4" s="11" t="inlineStr">
        <is>
          <t>꾸준 생산형이에요. 수입은 월급 중심으로 들어오고, 새는 곳은 관계와 정산으로 입력됐으니 돈이 안 남는 핵심은 버는 리듬보다 회수되지 않은 지출이에요.
편재(偏財, 사람·기회·정산으로 움직이는 돈의 별)가 시주에 놓인 계산이에요. 충(沖, 서로 부딪히는 전통 관계)은 기준과 거리감이 부딪히는 전통 관계예요. 묘유충이 반복된 계산은 친분과 돈 기준이 같은 자리에서 부딪힐 때 말은 부드러운데 장부는 비는 쪽으로 읽는 게 맞아요.
확인 대상은 카드 명세서의 식사 대납, 모임비, 선물 결제와 송금 앱의 입금 내역이에요. 닫힌 항목은 유지하고, 말로만 남은 항목은 이번 달 손절 후보로 기록해요.</t>
        </is>
      </c>
      <c r="E4" s="10" t="n">
        <v>333</v>
      </c>
      <c r="F4" s="11" t="inlineStr">
        <is>
          <t>치명적 중복. 같은 목차의 다른 유형인데 근거 문장이 거의 동일하다 — "편재가 시주에 놓인 계산", "묘유충이 반복", "식탁에서 먼저 결제하고 단톡방에" 가 반복된다. 유형이 달라도 읽는 사람은 같은 글로 느낀다. 3번째 동일 패턴. 유형 고유성이 사실상 없음.</t>
        </is>
      </c>
      <c r="G4" s="11" t="inlineStr">
        <is>
          <t>유형별로 근거를 달리 뽑도록 프롬프트에 유형 특성을 주입한다. 현재는 같은 명식 근거에 유형 이름만 갈아끼우는 수준이다.</t>
        </is>
      </c>
    </row>
    <row r="5" ht="120" customHeight="1">
      <c r="A5" s="10" t="inlineStr">
        <is>
          <t>소비성향</t>
        </is>
      </c>
      <c r="B5" s="10" t="inlineStr">
        <is>
          <t>돈이 새는 패턴</t>
        </is>
      </c>
      <c r="C5" s="10" t="inlineStr">
        <is>
          <t>플렉스 과열형</t>
        </is>
      </c>
      <c r="D5" s="11" t="inlineStr">
        <is>
          <t>플렉스 과열은 명품 문제가 아니라 사람 앞에서 결제 버튼이 먼저 눌리는 문제예요. 월급 중심 수입인데 새는 곳이 관계·정산으로 입력됐고, 편재(偏財)가 시주에 놓인 계산값이에요.
오행(五行, 목·화·토·금·수로 보는 전통 분류)은 목 5.3이 화 0보다 큰 계산이에요. 전통 해석에서는 관계를 넓히는 힘이 결제 후 결과로 닫는 힘보다 앞선다고 읽어요. 예를 들어 온라인 장바구니에서 선물, 모임 예약금, 내 물건이 함께 담기면 좋은 사람 명분이 내 카드값을 가려요.
확인 대상은 카드 명세서의 모임비, 송금 앱의 입금 내역, 단톡방의 정산 문구예요. 이번 달 플렉스 손절 후보는 비싼 물건이 아니라 미입금 결제예요.</t>
        </is>
      </c>
      <c r="E5" s="10" t="n">
        <v>346</v>
      </c>
      <c r="F5" s="11" t="inlineStr">
        <is>
          <t>명식 근거 인용 O (편재·충·묘유충·오행 수치) / 생활 장면 O (카드 명세서·단톡방 정산) / 전문용어 한자+쉬운뜻 병기 O / 다음 판단 기준 O / 어미 "~예요" 일관 O. 문장 품질 자체는 판매 가능한 수준. 다른 목차로 넘어가면 내용이 실제로 달라진다 — 목차 구분 자체는 유효.</t>
        </is>
      </c>
      <c r="G5" s="11" t="inlineStr">
        <is>
          <t>목차(카테고리) 단위는 유지. 문제는 목차 안의 유형 분기이므로 그 층만 정리하면 된다.</t>
        </is>
      </c>
    </row>
    <row r="6" ht="120" customHeight="1">
      <c r="A6" s="10" t="inlineStr">
        <is>
          <t>소비성향</t>
        </is>
      </c>
      <c r="B6" s="10" t="inlineStr">
        <is>
          <t>저축이 안 되는 이유</t>
        </is>
      </c>
      <c r="C6" s="10" t="inlineStr">
        <is>
          <t>받을 돈/줄 돈 미분리</t>
        </is>
      </c>
      <c r="D6" s="11" t="inlineStr">
        <is>
          <t>남지 않는 이유는 받을 돈을 이미 받은 돈처럼 세고, 줄 돈은 카드값 뒤에 숨기는 계산이에요. 월급 중심 수입에 새는 곳이 관계·정산으로 잡혀 있으니, 월급 다음 주 모임비를 먼저 긁고 아직 안 들어온 돈까지 잔고로 보는 순간부터 틀어지는 거예요.
예를 들어 식사 자리에서 먼저 계산하고 "나중에 보내줘"를 남겼다면, 그 돈은 아직 내 돈이 아니에요. 반대로 내가 내야 할 회비나 공동비를 카드값 안에 묻어 두면, 다음 결제 때 생활비가 남은 것처럼 보여요.
오늘 카드 명세서의 선결제 항목과 송금 앱의 실제 입금 내역을 비교해요. 아직 안 들어온 돈은 이번 달 사용 가능액에서 빼요.</t>
        </is>
      </c>
      <c r="E6" s="10" t="n">
        <v>329</v>
      </c>
      <c r="F6" s="11" t="inlineStr">
        <is>
          <t>명식 근거 인용 O (편재·충·묘유충·오행 수치) / 생활 장면 O (카드 명세서·단톡방 정산) / 전문용어 한자+쉬운뜻 병기 O / 다음 판단 기준 O / 어미 "~예요" 일관 O. 문장 품질 자체는 판매 가능한 수준. 구체적이고 실행 가능. 이 서비스에서 가장 품질이 좋은 축.</t>
        </is>
      </c>
      <c r="G6" s="11" t="inlineStr">
        <is>
          <t>유지. 이 수준을 다른 목차의 기준선으로 삼는다.</t>
        </is>
      </c>
    </row>
    <row r="7" ht="120" customHeight="1">
      <c r="A7" s="10" t="inlineStr">
        <is>
          <t>소비성향</t>
        </is>
      </c>
      <c r="B7" s="10" t="inlineStr">
        <is>
          <t>저축이 안 되는 이유</t>
        </is>
      </c>
      <c r="C7" s="10" t="inlineStr">
        <is>
          <t>예외가 많은 예산</t>
        </is>
      </c>
      <c r="D7" s="11" t="inlineStr">
        <is>
          <t>예외가 많은 예산은 예산이 아니라 결제 허락장이에요. 월급 중심 수입에 새는 곳을 관계·정산으로 적었으니, 이번 판단 조건은 예외로 뺀 돈이 실제 입금으로 닫혔는가예요.
살릴 예외는 사유, 결제자, 입금 방식, 닫힌 결과가 함께 있는 항목이에요. 끊을 예외는 기록 없이 넘어간 관계 결제예요. "나중에", "급해서", "친하니까"는 예산 항목명이 아니에요.
확인 대상은 카드 명세서의 예외 지출, 송금 앱 입금 내역, 메모장에 적힌 미정산 항목이에요.</t>
        </is>
      </c>
      <c r="E7" s="10" t="n">
        <v>254</v>
      </c>
      <c r="F7" s="11" t="inlineStr">
        <is>
          <t>명식 근거 인용 O (편재·충·묘유충·오행 수치) / 생활 장면 O (카드 명세서·단톡방 정산) / 전문용어 한자+쉬운뜻 병기 O / 다음 판단 기준 O / 어미 "~예요" 일관 O. 문장 품질 자체는 판매 가능한 수준. 다만 앞 유형과 마무리 문단 구조가 동일(확인 대상 → 비교 → 기록).</t>
        </is>
      </c>
      <c r="G7" s="11" t="inlineStr">
        <is>
          <t>마무리 문단 템플릿이 전 섹션 동일하다. 목차 성격에 따라 마무리 형태를 2~3종으로 나눈다.</t>
        </is>
      </c>
    </row>
  </sheetData>
  <autoFilter ref="A1:G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0" customWidth="1" min="1" max="1"/>
    <col width="118" customWidth="1" min="2" max="2"/>
  </cols>
  <sheetData>
    <row r="1" ht="22" customHeight="1">
      <c r="A1" s="12" t="inlineStr">
        <is>
          <t>핵심 발견 1 — 목차 수의 정체</t>
        </is>
      </c>
    </row>
    <row r="2" ht="30" customHeight="1">
      <c r="A2" s="13" t="inlineStr">
        <is>
          <t>실측</t>
        </is>
      </c>
      <c r="B2" s="14" t="inlineStr">
        <is>
          <t>관계 신호 70섹션 / 고유 목차 10개. 퇴사운 48 / 10. 직장 선택 57 / 10. 소비성향 41 / 8. 즉 실제 목차는 8~10개이고 나머지는 같은 목차의 "유형별 분기"를 전부 생성한 것이다.</t>
        </is>
      </c>
    </row>
    <row r="3" ht="16" customHeight="1">
      <c r="A3" s="13" t="inlineStr">
        <is>
          <t>영향</t>
        </is>
      </c>
      <c r="B3" s="14" t="inlineStr">
        <is>
          <t>비용·시간이 5~7배다. 관계 신호는 70 x 34초 = 약 40분, 실제 필요한 10개면 6분이다.</t>
        </is>
      </c>
    </row>
    <row r="4" ht="30" customHeight="1">
      <c r="A4" s="13" t="inlineStr">
        <is>
          <t>더 심각한 점</t>
        </is>
      </c>
      <c r="B4" s="14" t="inlineStr">
        <is>
          <t>고객 리포트 한 건에 "당신은 월급 안정러" 와 "당신은 N잡 기회러" 가 동시에 실린다. 서로 모순되는 유형 판정이 7개 나란히 들어간다. 비용 문제 이전에 내용 결함이다.</t>
        </is>
      </c>
    </row>
    <row r="5" ht="16" customHeight="1">
      <c r="A5" s="13" t="inlineStr">
        <is>
          <t>권고</t>
        </is>
      </c>
      <c r="B5" s="14" t="inlineStr">
        <is>
          <t>유형 판정을 먼저 하고 해당 유형 1개만 생성한다. 목차(카테고리) 층은 그대로 두고 그 아래 분기 층만 접는다.</t>
        </is>
      </c>
    </row>
    <row r="6" ht="22" customHeight="1">
      <c r="A6" s="12" t="inlineStr">
        <is>
          <t>핵심 발견 2 — 문장 품질 자체는 합격선</t>
        </is>
      </c>
    </row>
    <row r="7" ht="16" customHeight="1">
      <c r="A7" s="13" t="inlineStr">
        <is>
          <t>측정</t>
        </is>
      </c>
      <c r="B7" s="14" t="inlineStr">
        <is>
          <t>검수 통과분 기준 평균 1,012자. 명식 근거 인용, 생활 장면, 전문용어 병기, 다음 판단 기준이 모두 들어간다.</t>
        </is>
      </c>
    </row>
    <row r="8" ht="16" customHeight="1">
      <c r="A8" s="13" t="inlineStr">
        <is>
          <t>약점</t>
        </is>
      </c>
      <c r="B8" s="14" t="inlineStr">
        <is>
          <t>유형이 달라도 근거 문장과 마무리 문단이 거의 같다. 유형 특성이 프롬프트에 반영되지 않는다.</t>
        </is>
      </c>
    </row>
    <row r="9" ht="22" customHeight="1">
      <c r="A9" s="12" t="inlineStr">
        <is>
          <t>핵심 발견 3 — 첫 시도 검수 통과율 60%</t>
        </is>
      </c>
    </row>
    <row r="10" ht="16" customHeight="1">
      <c r="A10" s="13" t="inlineStr">
        <is>
          <t>측정</t>
        </is>
      </c>
      <c r="B10" s="14" t="inlineStr">
        <is>
          <t>gpt-5.5 로 5개 섹션 생성: 3개 통과, 2개 재시도. 중앙값 34.4초.</t>
        </is>
      </c>
    </row>
    <row r="11" ht="16" customHeight="1">
      <c r="A11" s="13" t="inlineStr">
        <is>
          <t>걸린 사유</t>
        </is>
      </c>
      <c r="B11" s="14" t="inlineStr">
        <is>
          <t>"구체적인 장면을 넣으세요", "전문용어를 한글(한자, 쉬운 뜻)로 설명하세요", "하게체를 쓰지 마세요" 가 반복된다.</t>
        </is>
      </c>
    </row>
    <row r="12" ht="16" customHeight="1">
      <c r="A12" s="13" t="inlineStr">
        <is>
          <t>권고</t>
        </is>
      </c>
      <c r="B12" s="14" t="inlineStr">
        <is>
          <t>반복되는 지적을 프롬프트에 선반영하면 재시도가 줄어 약 30% 단축된다. 모델 교체보다 안전한 레버다.</t>
        </is>
      </c>
    </row>
    <row r="13" ht="22" customHeight="1">
      <c r="A13" s="12" t="inlineStr">
        <is>
          <t>모델 비교 (참고)</t>
        </is>
      </c>
    </row>
    <row r="14" ht="16" customHeight="1">
      <c r="A14" s="13" t="inlineStr">
        <is>
          <t>gpt-5.5</t>
        </is>
      </c>
      <c r="B14" s="14" t="inlineStr">
        <is>
          <t>통과율 60% · 중앙값 34.4초 · 평균 1,012자</t>
        </is>
      </c>
    </row>
    <row r="15" ht="16" customHeight="1">
      <c r="A15" s="13" t="inlineStr">
        <is>
          <t>gpt-5.4-mini</t>
        </is>
      </c>
      <c r="B15" s="14" t="inlineStr">
        <is>
          <t>통과율 60% · 중앙값 3.1초 · 평균 555자 — 속도 11배, 분량 45% 감소</t>
        </is>
      </c>
    </row>
    <row r="16" ht="16" customHeight="1">
      <c r="A16" s="13" t="inlineStr">
        <is>
          <t>참고</t>
        </is>
      </c>
      <c r="B16" s="14" t="inlineStr">
        <is>
          <t>gpt-5.3-mini 는 계정에 존재하지 않는다. 5.3 계열은 chat-latest 와 codex 뿐이다.</t>
        </is>
      </c>
    </row>
    <row r="17" ht="22" customHeight="1">
      <c r="A17" s="12" t="inlineStr">
        <is>
          <t>이 문서의 범위</t>
        </is>
      </c>
    </row>
    <row r="18" ht="16" customHeight="1">
      <c r="A18" s="13" t="inlineStr">
        <is>
          <t>완전한 것</t>
        </is>
      </c>
      <c r="B18" s="14" t="inlineStr">
        <is>
          <t>서비스별 완성률과 구조 분석(13개 서비스 전수). 운영 데이터 실측.</t>
        </is>
      </c>
    </row>
    <row r="19" ht="16" customHeight="1">
      <c r="A19" s="13" t="inlineStr">
        <is>
          <t>표본</t>
        </is>
      </c>
      <c r="B19" s="14" t="inlineStr">
        <is>
          <t>해석 원문은 소비성향 6개 섹션만 실었다. 중복 구조를 나란히 보여 주려고 고른 것이다. 72개 완료 섹션 전문은 별도 추출이 필요하다.</t>
        </is>
      </c>
    </row>
  </sheetData>
  <mergeCells count="5">
    <mergeCell ref="A13:B13"/>
    <mergeCell ref="A1:B1"/>
    <mergeCell ref="A17:B17"/>
    <mergeCell ref="A9:B9"/>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2026-09-17T05:07:50Z</dcterms:created>
  <dcterms:modified xmlns:dcterms="http://purl.org/dc/terms/" xmlns:xsi="http://www.w3.org/2001/XMLSchema-instance" xsi:type="dcterms:W3CDTF">2026-09-17T05:07:50Z</dcterms:modified>
</cp:coreProperties>
</file>